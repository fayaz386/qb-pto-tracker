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ync-target\Emails\Accounting\0000000000000000 TASKS\payroll QB SUMMARY\"/>
    </mc:Choice>
  </mc:AlternateContent>
  <xr:revisionPtr revIDLastSave="0" documentId="13_ncr:1_{310F3B47-A66A-4809-8363-C15ED3D736A4}" xr6:coauthVersionLast="47" xr6:coauthVersionMax="47" xr10:uidLastSave="{00000000-0000-0000-0000-000000000000}"/>
  <bookViews>
    <workbookView xWindow="28845" yWindow="405" windowWidth="27945" windowHeight="14565" xr2:uid="{A74A114E-B9C7-4B45-A821-988C5E1EFAD1}"/>
  </bookViews>
  <sheets>
    <sheet name="SUMMARY" sheetId="5" r:id="rId1"/>
    <sheet name="pd7a" sheetId="15" r:id="rId2"/>
    <sheet name="QB-Pay sum biw" sheetId="14" r:id="rId3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0">SUMMARY!$A:$B,SUMMARY!$5:$5</definedName>
    <definedName name="QBCANSUPPORTUPDATE" localSheetId="0">FALSE</definedName>
    <definedName name="QBCOMPANYFILENAME" localSheetId="0">"Q:\West Star Hospitality Group Ltd\West Star Hospitality Group Ltd.QBW"</definedName>
    <definedName name="QBHEADERSONSCREEN" localSheetId="0">FALSE</definedName>
    <definedName name="QBMETADATASIZE" localSheetId="0">0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TRUE</definedName>
    <definedName name="QBREPORTCOLAXIS" localSheetId="0">6</definedName>
    <definedName name="QBREPORTCOMPANYID" localSheetId="0">"1529a0a411f64f818d96a5c32643c7cd"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62</definedName>
    <definedName name="QBREPORTSUBCOLAXIS" localSheetId="0">0</definedName>
    <definedName name="QBREPORTTYPE" localSheetId="0">105</definedName>
    <definedName name="QBROWHEADERS" localSheetId="0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5" l="1"/>
  <c r="C16" i="5"/>
  <c r="C10" i="5"/>
  <c r="E9" i="5"/>
  <c r="C9" i="5"/>
  <c r="E8" i="5"/>
  <c r="C8" i="5"/>
  <c r="C14" i="5"/>
  <c r="B4" i="5" l="1"/>
  <c r="G10" i="5" l="1"/>
  <c r="G9" i="5" l="1"/>
  <c r="C11" i="5"/>
  <c r="G8" i="5"/>
  <c r="E11" i="5"/>
  <c r="G11" i="5" l="1"/>
</calcChain>
</file>

<file path=xl/sharedStrings.xml><?xml version="1.0" encoding="utf-8"?>
<sst xmlns="http://schemas.openxmlformats.org/spreadsheetml/2006/main" count="83" uniqueCount="70">
  <si>
    <t>Federal Income Tax</t>
  </si>
  <si>
    <t>CPP - Employee</t>
  </si>
  <si>
    <t>CPP - Company</t>
  </si>
  <si>
    <t>EI - Employee</t>
  </si>
  <si>
    <t>EI - Company</t>
  </si>
  <si>
    <t>Gross payroll for period</t>
  </si>
  <si>
    <t>No. of employees paid in period</t>
  </si>
  <si>
    <t>Remittance for period</t>
  </si>
  <si>
    <t>Tax deductions</t>
  </si>
  <si>
    <t>Total CPP contributions</t>
  </si>
  <si>
    <t>Total EI premiums</t>
  </si>
  <si>
    <t>West Star Hospitality (AMBLER)</t>
  </si>
  <si>
    <t>Payroll Tax</t>
  </si>
  <si>
    <t>Employees Paid</t>
  </si>
  <si>
    <t>Net Pay</t>
  </si>
  <si>
    <t>Employee Wages, Taxes and Adjustments</t>
  </si>
  <si>
    <t>Gross Pay</t>
  </si>
  <si>
    <t>General Manager Salary</t>
  </si>
  <si>
    <t>Management Salaries</t>
  </si>
  <si>
    <t>Breakfast Wages</t>
  </si>
  <si>
    <t>Front Desk Wages</t>
  </si>
  <si>
    <t>Front Desk Wages OT</t>
  </si>
  <si>
    <t>House Keeping Wages</t>
  </si>
  <si>
    <t>House Keeping Wages OT</t>
  </si>
  <si>
    <t>House Person Wages</t>
  </si>
  <si>
    <t>House Person Wages OT.</t>
  </si>
  <si>
    <t>Laundry Wages</t>
  </si>
  <si>
    <t>Night Auditor Wages</t>
  </si>
  <si>
    <t>Night Auditor Wages OT</t>
  </si>
  <si>
    <t>Other</t>
  </si>
  <si>
    <t>Sick Hourly Rate</t>
  </si>
  <si>
    <t>STAT Pay</t>
  </si>
  <si>
    <t>Vacation Hourly</t>
  </si>
  <si>
    <t>Total Gross Pay</t>
  </si>
  <si>
    <t>Deductions from Gross Pay</t>
  </si>
  <si>
    <t>GHP Deduction</t>
  </si>
  <si>
    <t>Union Dues Deduction</t>
  </si>
  <si>
    <t>Total Deductions from Gross Pay</t>
  </si>
  <si>
    <t>Adjusted Gross Pay</t>
  </si>
  <si>
    <t>Taxes Withheld</t>
  </si>
  <si>
    <t>Total Taxes Withheld</t>
  </si>
  <si>
    <t>Employer Taxes and Contributions</t>
  </si>
  <si>
    <t>WCB Rate</t>
  </si>
  <si>
    <t>Total Employer Taxes and Contributions</t>
  </si>
  <si>
    <t>Vacation Pay Accrued</t>
  </si>
  <si>
    <t>VacPay-Accrued</t>
  </si>
  <si>
    <t>Total Vacation Pay Accrued</t>
  </si>
  <si>
    <t>EMPLOYEE DEDUCTION</t>
  </si>
  <si>
    <t>EMPLOYER DEDUCTION</t>
  </si>
  <si>
    <t>TOTAL DUE</t>
  </si>
  <si>
    <t>CPP</t>
  </si>
  <si>
    <t>EI</t>
  </si>
  <si>
    <t>Totals</t>
  </si>
  <si>
    <t>Room Checker Wages</t>
  </si>
  <si>
    <t>Hours</t>
  </si>
  <si>
    <t>Rate</t>
  </si>
  <si>
    <t>Front Office Supervisor OT</t>
  </si>
  <si>
    <t>Front Office Supervisor Wages</t>
  </si>
  <si>
    <t>Second CPP - Employee</t>
  </si>
  <si>
    <t>Second CPP - Company</t>
  </si>
  <si>
    <t>Maintenance Technician Wages</t>
  </si>
  <si>
    <t>Laundry Wages OT</t>
  </si>
  <si>
    <t>Room Checker Wages OT</t>
  </si>
  <si>
    <t>Breakfast Wages OT</t>
  </si>
  <si>
    <t>Maintenance Technician Wages OT</t>
  </si>
  <si>
    <t>Sales &amp; Marketing Salary</t>
  </si>
  <si>
    <t>Apr 3 - 16, 26</t>
  </si>
  <si>
    <t>Birthday Wages</t>
  </si>
  <si>
    <t>#08</t>
  </si>
  <si>
    <t>Pay Date April 16,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</si>
</sst>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#,##0_ ;\-#,##0\ "/>
  </numFmts>
  <fonts count="11" x14ac:knownFonts="1">
    <font>
      <sz val="14"/>
      <color theme="1"/>
      <name val="Calibri"/>
      <family val="2"/>
      <scheme val="minor"/>
    </font>
    <font>
      <b/>
      <sz val="8"/>
      <color rgb="FF32323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22"/>
      <color rgb="FF323232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rgb="FF323232"/>
      <name val="Calibri"/>
      <family val="2"/>
      <scheme val="minor"/>
    </font>
    <font>
      <b/>
      <sz val="22"/>
      <color rgb="FF323232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3" fillId="0" borderId="0"/>
    <xf numFmtId="0" fontId="4" fillId="0" borderId="0"/>
    <xf numFmtId="0" fontId="10" fillId="0" borderId="0"/>
  </cellStyleXfs>
  <cellXfs count="21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9" fontId="5" fillId="0" borderId="0" xfId="0" applyNumberFormat="1" applyFont="1"/>
    <xf numFmtId="0" fontId="6" fillId="0" borderId="0" xfId="0" applyFont="1"/>
    <xf numFmtId="0" fontId="7" fillId="0" borderId="0" xfId="0" applyFont="1"/>
    <xf numFmtId="0" fontId="7" fillId="2" borderId="0" xfId="0" applyFont="1" applyFill="1"/>
    <xf numFmtId="0" fontId="6" fillId="0" borderId="0" xfId="0" applyFont="1" applyAlignment="1">
      <alignment horizontal="center"/>
    </xf>
    <xf numFmtId="49" fontId="5" fillId="0" borderId="1" xfId="0" applyNumberFormat="1" applyFont="1" applyBorder="1"/>
    <xf numFmtId="39" fontId="5" fillId="0" borderId="1" xfId="0" applyNumberFormat="1" applyFont="1" applyBorder="1"/>
    <xf numFmtId="0" fontId="6" fillId="0" borderId="1" xfId="0" applyFont="1" applyBorder="1"/>
    <xf numFmtId="0" fontId="7" fillId="0" borderId="1" xfId="0" applyFont="1" applyBorder="1"/>
    <xf numFmtId="44" fontId="5" fillId="0" borderId="1" xfId="0" applyNumberFormat="1" applyFont="1" applyBorder="1"/>
    <xf numFmtId="44" fontId="8" fillId="0" borderId="1" xfId="0" applyNumberFormat="1" applyFont="1" applyBorder="1"/>
    <xf numFmtId="0" fontId="9" fillId="0" borderId="1" xfId="0" applyFont="1" applyBorder="1"/>
    <xf numFmtId="44" fontId="5" fillId="2" borderId="1" xfId="0" applyNumberFormat="1" applyFont="1" applyFill="1" applyBorder="1"/>
    <xf numFmtId="0" fontId="9" fillId="0" borderId="0" xfId="0" applyFont="1"/>
    <xf numFmtId="164" fontId="5" fillId="0" borderId="0" xfId="0" applyNumberFormat="1" applyFont="1"/>
    <xf numFmtId="0" fontId="7" fillId="0" borderId="0" xfId="0" applyFont="1" applyAlignment="1">
      <alignment horizontal="left"/>
    </xf>
  </cellXfs>
  <cellStyles count="5">
    <cellStyle name="Normal" xfId="0" builtinId="0"/>
    <cellStyle name="Normal 2" xfId="1" xr:uid="{563528C2-FC79-4015-B9DF-1C847C06636E}"/>
    <cellStyle name="Normal 3" xfId="2" xr:uid="{4FCAA2BA-24DD-46F9-96AD-33E4AFF7282C}"/>
    <cellStyle name="Normal 4" xfId="3" xr:uid="{DED277B0-02ED-4C69-8F5E-615E559C7CF8}"/>
    <cellStyle name="Normal 5" xfId="4" xr:uid="{0EC584A4-F092-4DF0-B347-5EF272B3B7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AE5E0-B77A-49F6-B9B5-3D534C59E582}">
  <sheetPr>
    <pageSetUpPr fitToPage="1"/>
  </sheetPr>
  <dimension ref="A1:G17"/>
  <sheetViews>
    <sheetView tabSelected="1" zoomScale="85" zoomScaleNormal="85" workbookViewId="0">
      <pane xSplit="2" ySplit="5" topLeftCell="C6" activePane="bottomRight" state="frozenSplit"/>
      <selection pane="topRight" activeCell="C1" sqref="C1"/>
      <selection pane="bottomLeft" activeCell="A2" sqref="A2"/>
      <selection pane="bottomRight" activeCell="E17" sqref="E16:E17"/>
    </sheetView>
  </sheetViews>
  <sheetFormatPr defaultRowHeight="18.75" x14ac:dyDescent="0.3"/>
  <cols>
    <col min="1" max="1" width="6.296875" style="2" customWidth="1"/>
    <col min="2" max="2" width="31.5" style="2" customWidth="1"/>
    <col min="3" max="3" width="19.19921875" customWidth="1"/>
    <col min="4" max="4" width="12" customWidth="1"/>
    <col min="5" max="5" width="18.69921875" customWidth="1"/>
    <col min="7" max="7" width="18.19921875" customWidth="1"/>
  </cols>
  <sheetData>
    <row r="1" spans="1:7" ht="28.5" x14ac:dyDescent="0.45">
      <c r="B1" s="5" t="s">
        <v>11</v>
      </c>
      <c r="C1" s="6"/>
      <c r="D1" s="6"/>
      <c r="E1" s="6"/>
      <c r="F1" s="6"/>
      <c r="G1" s="6"/>
    </row>
    <row r="2" spans="1:7" ht="28.5" x14ac:dyDescent="0.45">
      <c r="B2" s="5" t="s">
        <v>12</v>
      </c>
      <c r="C2" s="7" t="s">
        <v>68</v>
      </c>
      <c r="D2" s="7">
        <v>2026</v>
      </c>
      <c r="E2" s="6"/>
      <c r="F2" s="6"/>
      <c r="G2" s="6"/>
    </row>
    <row r="3" spans="1:7" ht="28.5" x14ac:dyDescent="0.45">
      <c r="B3" s="5"/>
      <c r="C3" s="6"/>
      <c r="D3" s="6"/>
      <c r="E3" s="6"/>
      <c r="F3" s="6"/>
      <c r="G3" s="6"/>
    </row>
    <row r="4" spans="1:7" ht="28.5" x14ac:dyDescent="0.45">
      <c r="B4" s="17" t="str">
        <f>'QB-Pay sum biw'!D1</f>
        <v>Apr 3 - 16, 26</v>
      </c>
      <c r="C4" s="6"/>
      <c r="D4" s="6"/>
      <c r="E4" s="6"/>
      <c r="F4" s="6"/>
      <c r="G4" s="6"/>
    </row>
    <row r="5" spans="1:7" s="4" customFormat="1" ht="28.5" x14ac:dyDescent="0.45">
      <c r="A5" s="3"/>
      <c r="B5" s="8" t="s">
        <v>69</v>
      </c>
      <c r="C5" s="20"/>
      <c r="D5" s="9"/>
      <c r="E5" s="9"/>
      <c r="F5" s="9"/>
      <c r="G5" s="9"/>
    </row>
    <row r="6" spans="1:7" s="4" customFormat="1" ht="28.5" x14ac:dyDescent="0.45">
      <c r="A6" s="3"/>
      <c r="B6" s="9"/>
      <c r="C6" s="9"/>
      <c r="D6" s="9"/>
      <c r="E6" s="9"/>
      <c r="F6" s="9"/>
      <c r="G6" s="9"/>
    </row>
    <row r="7" spans="1:7" ht="28.5" x14ac:dyDescent="0.45">
      <c r="A7" s="1"/>
      <c r="B7" s="10"/>
      <c r="C7" s="11" t="s">
        <v>47</v>
      </c>
      <c r="D7" s="12"/>
      <c r="E7" s="13" t="s">
        <v>48</v>
      </c>
      <c r="F7" s="12"/>
      <c r="G7" s="13" t="s">
        <v>49</v>
      </c>
    </row>
    <row r="8" spans="1:7" ht="28.5" x14ac:dyDescent="0.45">
      <c r="A8" s="1"/>
      <c r="B8" s="10" t="s">
        <v>51</v>
      </c>
      <c r="C8" s="14">
        <f>ABS('QB-Pay sum biw'!D40)</f>
        <v>1045.2</v>
      </c>
      <c r="D8" s="12"/>
      <c r="E8" s="14">
        <f>ABS('QB-Pay sum biw'!D46)</f>
        <v>1463.29</v>
      </c>
      <c r="F8" s="12"/>
      <c r="G8" s="15">
        <f>C8+E8</f>
        <v>2508.4899999999998</v>
      </c>
    </row>
    <row r="9" spans="1:7" ht="28.5" x14ac:dyDescent="0.45">
      <c r="A9" s="1"/>
      <c r="B9" s="10" t="s">
        <v>50</v>
      </c>
      <c r="C9" s="14">
        <f>ABS('QB-Pay sum biw'!D44+'QB-Pay sum biw'!D45)</f>
        <v>4079.13</v>
      </c>
      <c r="D9" s="12"/>
      <c r="E9" s="14">
        <f>ABS('QB-Pay sum biw'!D38+'QB-Pay sum biw'!D39)</f>
        <v>4079.13</v>
      </c>
      <c r="F9" s="12"/>
      <c r="G9" s="15">
        <f>C9+E9</f>
        <v>8158.26</v>
      </c>
    </row>
    <row r="10" spans="1:7" ht="28.5" x14ac:dyDescent="0.45">
      <c r="A10" s="1"/>
      <c r="B10" s="10" t="s">
        <v>0</v>
      </c>
      <c r="C10" s="14">
        <f>ABS('QB-Pay sum biw'!D37)</f>
        <v>10594.15</v>
      </c>
      <c r="D10" s="12"/>
      <c r="E10" s="12"/>
      <c r="F10" s="12"/>
      <c r="G10" s="15">
        <f>C10+E10</f>
        <v>10594.15</v>
      </c>
    </row>
    <row r="11" spans="1:7" s="2" customFormat="1" ht="28.5" x14ac:dyDescent="0.45">
      <c r="A11" s="1"/>
      <c r="B11" s="10" t="s">
        <v>52</v>
      </c>
      <c r="C11" s="14">
        <f>SUM(C8:C10)</f>
        <v>15718.48</v>
      </c>
      <c r="D11" s="16"/>
      <c r="E11" s="14">
        <f>SUM(E8:E10)</f>
        <v>5542.42</v>
      </c>
      <c r="F11" s="16"/>
      <c r="G11" s="17">
        <f>SUM(G8:G10)</f>
        <v>21260.9</v>
      </c>
    </row>
    <row r="12" spans="1:7" ht="28.5" x14ac:dyDescent="0.45">
      <c r="B12" s="18"/>
      <c r="C12" s="6"/>
      <c r="D12" s="6"/>
      <c r="E12" s="6"/>
      <c r="F12" s="6"/>
      <c r="G12" s="6"/>
    </row>
    <row r="13" spans="1:7" ht="28.5" x14ac:dyDescent="0.45">
      <c r="B13" s="18"/>
      <c r="C13" s="6"/>
      <c r="D13" s="6"/>
      <c r="E13" s="6"/>
      <c r="F13" s="6"/>
      <c r="G13" s="6"/>
    </row>
    <row r="14" spans="1:7" ht="28.5" x14ac:dyDescent="0.45">
      <c r="B14" s="5" t="s">
        <v>13</v>
      </c>
      <c r="C14" s="19">
        <f>pd7a!B3</f>
        <v>43</v>
      </c>
      <c r="D14" s="6"/>
      <c r="E14" s="6"/>
      <c r="F14" s="6"/>
      <c r="G14" s="6"/>
    </row>
    <row r="15" spans="1:7" ht="28.5" x14ac:dyDescent="0.45">
      <c r="B15" s="18"/>
      <c r="C15" s="6"/>
      <c r="D15" s="6"/>
      <c r="E15" s="6"/>
      <c r="F15" s="6"/>
      <c r="G15" s="6"/>
    </row>
    <row r="16" spans="1:7" ht="28.5" x14ac:dyDescent="0.45">
      <c r="B16" s="5" t="s">
        <v>16</v>
      </c>
      <c r="C16" s="14">
        <f>ABS('QB-Pay sum biw'!D30)</f>
        <v>76124.47</v>
      </c>
      <c r="D16" s="6"/>
      <c r="E16" s="6"/>
      <c r="F16" s="6"/>
      <c r="G16" s="6"/>
    </row>
    <row r="17" spans="2:7" ht="28.5" x14ac:dyDescent="0.45">
      <c r="B17" s="5" t="s">
        <v>14</v>
      </c>
      <c r="C17" s="14">
        <f>ABS('QB-Pay sum biw'!D42)</f>
        <v>59936.63</v>
      </c>
      <c r="D17" s="6"/>
      <c r="E17" s="6"/>
      <c r="F17" s="6"/>
      <c r="G17" s="6"/>
    </row>
  </sheetData>
  <pageMargins left="0.11811023622047244" right="0.11811023622047244" top="0.11811023622047244" bottom="0.11811023622047244" header="0.11811023622047244" footer="0.31496062992125984"/>
  <pageSetup scale="54" orientation="portrait" r:id="rId1"/>
  <headerFooter>
    <oddHeader>&amp;L&amp;"Arial,Bold"&amp;8 8:13 AM
&amp;"Arial,Bold"&amp;8 2023-01-27&amp;C&amp;"Arial,Bold"&amp;12 West Star Hospitality Group Ltd
&amp;"Arial,Bold"&amp;14 Payroll Liability Balances
&amp;"Arial,Bold"&amp;10 13 - 26 January 2023</oddHeader>
    <oddFooter>&amp;R&amp;"Arial,Bold"&amp;8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94B01-E502-4DF5-B3B9-2796E09BCE4D}">
  <dimension ref="A1:B16"/>
  <sheetViews>
    <sheetView workbookViewId="0">
      <selection activeCell="G6" sqref="G6"/>
    </sheetView>
  </sheetViews>
  <sheetFormatPr defaultRowHeight="18.75" x14ac:dyDescent="0.3"/>
  <cols>
    <col min="1" max="1" width="21.59765625" customWidth="1"/>
    <col min="2" max="2" width="17.59765625" customWidth="1"/>
  </cols>
  <sheetData>
    <row r="1" spans="1:2" x14ac:dyDescent="0.3">
      <c r="B1" t="s">
        <v>66</v>
      </c>
    </row>
    <row r="2" spans="1:2" x14ac:dyDescent="0.3">
      <c r="A2" t="s">
        <v>5</v>
      </c>
      <c r="B2">
        <v>76124.47</v>
      </c>
    </row>
    <row r="3" spans="1:2" x14ac:dyDescent="0.3">
      <c r="A3" t="s">
        <v>6</v>
      </c>
      <c r="B3">
        <v>43</v>
      </c>
    </row>
    <row r="4" spans="1:2" x14ac:dyDescent="0.3">
      <c r="A4" t="s">
        <v>7</v>
      </c>
    </row>
    <row r="5" spans="1:2" x14ac:dyDescent="0.3">
      <c r="A5" t="s">
        <v>8</v>
      </c>
      <c r="B5">
        <v>10594.15</v>
      </c>
    </row>
    <row r="6" spans="1:2" x14ac:dyDescent="0.3">
      <c r="A6" t="s">
        <v>9</v>
      </c>
    </row>
    <row r="7" spans="1:2" x14ac:dyDescent="0.3">
      <c r="A7" t="s">
        <v>1</v>
      </c>
      <c r="B7">
        <v>4079.13</v>
      </c>
    </row>
    <row r="8" spans="1:2" x14ac:dyDescent="0.3">
      <c r="A8" t="s">
        <v>2</v>
      </c>
      <c r="B8">
        <v>4079.13</v>
      </c>
    </row>
    <row r="9" spans="1:2" x14ac:dyDescent="0.3">
      <c r="A9" t="s">
        <v>58</v>
      </c>
      <c r="B9">
        <v>0</v>
      </c>
    </row>
    <row r="10" spans="1:2" x14ac:dyDescent="0.3">
      <c r="A10" t="s">
        <v>59</v>
      </c>
      <c r="B10">
        <v>0</v>
      </c>
    </row>
    <row r="11" spans="1:2" x14ac:dyDescent="0.3">
      <c r="A11" t="s">
        <v>9</v>
      </c>
      <c r="B11">
        <v>8158.26</v>
      </c>
    </row>
    <row r="12" spans="1:2" x14ac:dyDescent="0.3">
      <c r="A12" t="s">
        <v>10</v>
      </c>
    </row>
    <row r="13" spans="1:2" x14ac:dyDescent="0.3">
      <c r="A13" t="s">
        <v>3</v>
      </c>
      <c r="B13">
        <v>1045.2</v>
      </c>
    </row>
    <row r="14" spans="1:2" x14ac:dyDescent="0.3">
      <c r="A14" t="s">
        <v>4</v>
      </c>
      <c r="B14">
        <v>1463.29</v>
      </c>
    </row>
    <row r="15" spans="1:2" x14ac:dyDescent="0.3">
      <c r="A15" t="s">
        <v>10</v>
      </c>
      <c r="B15">
        <v>2508.4899999999998</v>
      </c>
    </row>
    <row r="16" spans="1:2" x14ac:dyDescent="0.3">
      <c r="A16" t="s">
        <v>7</v>
      </c>
      <c r="B16">
        <v>21260.9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A96B4-3D97-48E1-BCA5-5D6D0957B528}">
  <dimension ref="A1:D51"/>
  <sheetViews>
    <sheetView topLeftCell="A19" workbookViewId="0">
      <selection activeCell="D40" sqref="D40"/>
    </sheetView>
  </sheetViews>
  <sheetFormatPr defaultRowHeight="18.75" x14ac:dyDescent="0.3"/>
  <cols>
    <col min="1" max="1" width="29.09765625" customWidth="1"/>
  </cols>
  <sheetData>
    <row r="1" spans="1:4" x14ac:dyDescent="0.3">
      <c r="B1" t="s">
        <v>54</v>
      </c>
      <c r="C1" t="s">
        <v>55</v>
      </c>
      <c r="D1" t="s">
        <v>66</v>
      </c>
    </row>
    <row r="2" spans="1:4" x14ac:dyDescent="0.3">
      <c r="A2" t="s">
        <v>15</v>
      </c>
    </row>
    <row r="3" spans="1:4" x14ac:dyDescent="0.3">
      <c r="A3" t="s">
        <v>16</v>
      </c>
    </row>
    <row r="4" spans="1:4" x14ac:dyDescent="0.3">
      <c r="A4" t="s">
        <v>17</v>
      </c>
      <c r="B4">
        <v>72</v>
      </c>
      <c r="D4">
        <v>3461.53</v>
      </c>
    </row>
    <row r="5" spans="1:4" x14ac:dyDescent="0.3">
      <c r="A5" t="s">
        <v>18</v>
      </c>
      <c r="B5">
        <v>160</v>
      </c>
      <c r="D5">
        <v>12000</v>
      </c>
    </row>
    <row r="6" spans="1:4" x14ac:dyDescent="0.3">
      <c r="A6" t="s">
        <v>65</v>
      </c>
      <c r="B6">
        <v>68</v>
      </c>
      <c r="D6">
        <v>1961.54</v>
      </c>
    </row>
    <row r="7" spans="1:4" x14ac:dyDescent="0.3">
      <c r="A7" t="s">
        <v>67</v>
      </c>
      <c r="B7">
        <v>24</v>
      </c>
      <c r="C7">
        <v>18.920000000000002</v>
      </c>
      <c r="D7">
        <v>469.92</v>
      </c>
    </row>
    <row r="8" spans="1:4" x14ac:dyDescent="0.3">
      <c r="A8" t="s">
        <v>19</v>
      </c>
      <c r="B8">
        <v>232.25</v>
      </c>
      <c r="C8">
        <v>18.920000000000002</v>
      </c>
      <c r="D8">
        <v>4382.7700000000004</v>
      </c>
    </row>
    <row r="9" spans="1:4" x14ac:dyDescent="0.3">
      <c r="A9" t="s">
        <v>63</v>
      </c>
      <c r="B9">
        <v>17.5</v>
      </c>
      <c r="C9">
        <v>28.38</v>
      </c>
      <c r="D9">
        <v>494.91</v>
      </c>
    </row>
    <row r="10" spans="1:4" x14ac:dyDescent="0.3">
      <c r="A10" t="s">
        <v>20</v>
      </c>
      <c r="B10">
        <v>259.25</v>
      </c>
      <c r="C10">
        <v>20</v>
      </c>
      <c r="D10">
        <v>5185</v>
      </c>
    </row>
    <row r="11" spans="1:4" x14ac:dyDescent="0.3">
      <c r="A11" t="s">
        <v>21</v>
      </c>
      <c r="B11">
        <v>15.5</v>
      </c>
      <c r="C11">
        <v>30</v>
      </c>
      <c r="D11">
        <v>465</v>
      </c>
    </row>
    <row r="12" spans="1:4" x14ac:dyDescent="0.3">
      <c r="A12" t="s">
        <v>56</v>
      </c>
      <c r="B12">
        <v>9.75</v>
      </c>
      <c r="C12">
        <v>33.75</v>
      </c>
      <c r="D12">
        <v>329.06</v>
      </c>
    </row>
    <row r="13" spans="1:4" x14ac:dyDescent="0.3">
      <c r="A13" t="s">
        <v>57</v>
      </c>
      <c r="B13">
        <v>70</v>
      </c>
      <c r="C13">
        <v>22.5</v>
      </c>
      <c r="D13">
        <v>1575</v>
      </c>
    </row>
    <row r="14" spans="1:4" x14ac:dyDescent="0.3">
      <c r="A14" t="s">
        <v>22</v>
      </c>
      <c r="B14">
        <v>977.25</v>
      </c>
      <c r="C14">
        <v>20.9</v>
      </c>
      <c r="D14">
        <v>20384.509999999998</v>
      </c>
    </row>
    <row r="15" spans="1:4" x14ac:dyDescent="0.3">
      <c r="A15" t="s">
        <v>23</v>
      </c>
      <c r="B15">
        <v>84.5</v>
      </c>
      <c r="C15">
        <v>31.35</v>
      </c>
      <c r="D15">
        <v>2635.85</v>
      </c>
    </row>
    <row r="16" spans="1:4" x14ac:dyDescent="0.3">
      <c r="A16" t="s">
        <v>24</v>
      </c>
      <c r="B16">
        <v>300</v>
      </c>
      <c r="C16">
        <v>20.9</v>
      </c>
      <c r="D16">
        <v>6270</v>
      </c>
    </row>
    <row r="17" spans="1:4" x14ac:dyDescent="0.3">
      <c r="A17" t="s">
        <v>25</v>
      </c>
      <c r="B17">
        <v>16</v>
      </c>
      <c r="C17">
        <v>31.35</v>
      </c>
      <c r="D17">
        <v>501.6</v>
      </c>
    </row>
    <row r="18" spans="1:4" x14ac:dyDescent="0.3">
      <c r="A18" t="s">
        <v>26</v>
      </c>
      <c r="B18">
        <v>168</v>
      </c>
      <c r="C18">
        <v>20.9</v>
      </c>
      <c r="D18">
        <v>3511.2</v>
      </c>
    </row>
    <row r="19" spans="1:4" x14ac:dyDescent="0.3">
      <c r="A19" t="s">
        <v>61</v>
      </c>
      <c r="B19">
        <v>19.5</v>
      </c>
      <c r="C19">
        <v>31.35</v>
      </c>
      <c r="D19">
        <v>611.32000000000005</v>
      </c>
    </row>
    <row r="20" spans="1:4" x14ac:dyDescent="0.3">
      <c r="A20" t="s">
        <v>60</v>
      </c>
      <c r="B20">
        <v>80</v>
      </c>
      <c r="C20">
        <v>23.54</v>
      </c>
      <c r="D20">
        <v>1883.2</v>
      </c>
    </row>
    <row r="21" spans="1:4" x14ac:dyDescent="0.3">
      <c r="A21" t="s">
        <v>64</v>
      </c>
      <c r="B21">
        <v>13</v>
      </c>
      <c r="C21">
        <v>35.31</v>
      </c>
      <c r="D21">
        <v>459.03</v>
      </c>
    </row>
    <row r="22" spans="1:4" x14ac:dyDescent="0.3">
      <c r="A22" t="s">
        <v>27</v>
      </c>
      <c r="B22">
        <v>102</v>
      </c>
      <c r="C22">
        <v>21</v>
      </c>
      <c r="D22">
        <v>2142</v>
      </c>
    </row>
    <row r="23" spans="1:4" x14ac:dyDescent="0.3">
      <c r="A23" t="s">
        <v>28</v>
      </c>
      <c r="B23">
        <v>8</v>
      </c>
      <c r="C23">
        <v>31.5</v>
      </c>
      <c r="D23">
        <v>252</v>
      </c>
    </row>
    <row r="24" spans="1:4" x14ac:dyDescent="0.3">
      <c r="A24" t="s">
        <v>29</v>
      </c>
      <c r="B24">
        <v>56.5</v>
      </c>
      <c r="C24">
        <v>20.9</v>
      </c>
      <c r="D24">
        <v>178.45</v>
      </c>
    </row>
    <row r="25" spans="1:4" x14ac:dyDescent="0.3">
      <c r="A25" t="s">
        <v>53</v>
      </c>
      <c r="B25">
        <v>32</v>
      </c>
      <c r="C25">
        <v>20.9</v>
      </c>
      <c r="D25">
        <v>668.8</v>
      </c>
    </row>
    <row r="26" spans="1:4" x14ac:dyDescent="0.3">
      <c r="A26" t="s">
        <v>62</v>
      </c>
      <c r="B26">
        <v>3.5</v>
      </c>
      <c r="C26">
        <v>31.35</v>
      </c>
      <c r="D26">
        <v>109.73</v>
      </c>
    </row>
    <row r="27" spans="1:4" x14ac:dyDescent="0.3">
      <c r="A27" t="s">
        <v>30</v>
      </c>
      <c r="B27">
        <v>16</v>
      </c>
      <c r="C27">
        <v>20.9</v>
      </c>
      <c r="D27">
        <v>334.4</v>
      </c>
    </row>
    <row r="28" spans="1:4" x14ac:dyDescent="0.3">
      <c r="A28" t="s">
        <v>31</v>
      </c>
      <c r="B28">
        <v>254.1</v>
      </c>
      <c r="C28">
        <v>20.9</v>
      </c>
      <c r="D28">
        <v>5549.19</v>
      </c>
    </row>
    <row r="29" spans="1:4" x14ac:dyDescent="0.3">
      <c r="A29" t="s">
        <v>32</v>
      </c>
      <c r="B29">
        <v>14.75</v>
      </c>
      <c r="C29">
        <v>20.9</v>
      </c>
      <c r="D29">
        <v>308.45999999999998</v>
      </c>
    </row>
    <row r="30" spans="1:4" x14ac:dyDescent="0.3">
      <c r="A30" t="s">
        <v>33</v>
      </c>
      <c r="D30">
        <v>76124.47</v>
      </c>
    </row>
    <row r="31" spans="1:4" x14ac:dyDescent="0.3">
      <c r="A31" t="s">
        <v>34</v>
      </c>
    </row>
    <row r="32" spans="1:4" x14ac:dyDescent="0.3">
      <c r="A32" t="s">
        <v>35</v>
      </c>
      <c r="D32">
        <v>-94.36</v>
      </c>
    </row>
    <row r="33" spans="1:4" x14ac:dyDescent="0.3">
      <c r="A33" t="s">
        <v>36</v>
      </c>
      <c r="D33">
        <v>-375</v>
      </c>
    </row>
    <row r="34" spans="1:4" x14ac:dyDescent="0.3">
      <c r="A34" t="s">
        <v>37</v>
      </c>
      <c r="D34">
        <v>-469.36</v>
      </c>
    </row>
    <row r="35" spans="1:4" x14ac:dyDescent="0.3">
      <c r="A35" t="s">
        <v>38</v>
      </c>
      <c r="D35">
        <v>75655.11</v>
      </c>
    </row>
    <row r="36" spans="1:4" x14ac:dyDescent="0.3">
      <c r="A36" t="s">
        <v>39</v>
      </c>
    </row>
    <row r="37" spans="1:4" x14ac:dyDescent="0.3">
      <c r="A37" t="s">
        <v>0</v>
      </c>
      <c r="D37">
        <v>-10594.15</v>
      </c>
    </row>
    <row r="38" spans="1:4" x14ac:dyDescent="0.3">
      <c r="A38" t="s">
        <v>1</v>
      </c>
      <c r="D38">
        <v>-4079.13</v>
      </c>
    </row>
    <row r="39" spans="1:4" x14ac:dyDescent="0.3">
      <c r="A39" t="s">
        <v>58</v>
      </c>
      <c r="D39">
        <v>0</v>
      </c>
    </row>
    <row r="40" spans="1:4" x14ac:dyDescent="0.3">
      <c r="A40" t="s">
        <v>3</v>
      </c>
      <c r="D40">
        <v>-1045.2</v>
      </c>
    </row>
    <row r="41" spans="1:4" x14ac:dyDescent="0.3">
      <c r="A41" t="s">
        <v>40</v>
      </c>
      <c r="D41">
        <v>-15718.48</v>
      </c>
    </row>
    <row r="42" spans="1:4" x14ac:dyDescent="0.3">
      <c r="A42" t="s">
        <v>14</v>
      </c>
      <c r="D42">
        <v>59936.63</v>
      </c>
    </row>
    <row r="43" spans="1:4" x14ac:dyDescent="0.3">
      <c r="A43" t="s">
        <v>41</v>
      </c>
    </row>
    <row r="44" spans="1:4" x14ac:dyDescent="0.3">
      <c r="A44" t="s">
        <v>2</v>
      </c>
      <c r="D44">
        <v>4079.13</v>
      </c>
    </row>
    <row r="45" spans="1:4" x14ac:dyDescent="0.3">
      <c r="A45" t="s">
        <v>59</v>
      </c>
      <c r="D45">
        <v>0</v>
      </c>
    </row>
    <row r="46" spans="1:4" x14ac:dyDescent="0.3">
      <c r="A46" t="s">
        <v>4</v>
      </c>
      <c r="D46">
        <v>1463.29</v>
      </c>
    </row>
    <row r="47" spans="1:4" x14ac:dyDescent="0.3">
      <c r="A47" t="s">
        <v>42</v>
      </c>
      <c r="D47">
        <v>519.42999999999995</v>
      </c>
    </row>
    <row r="48" spans="1:4" x14ac:dyDescent="0.3">
      <c r="A48" t="s">
        <v>43</v>
      </c>
      <c r="D48">
        <v>6061.85</v>
      </c>
    </row>
    <row r="49" spans="1:4" x14ac:dyDescent="0.3">
      <c r="A49" t="s">
        <v>44</v>
      </c>
    </row>
    <row r="50" spans="1:4" x14ac:dyDescent="0.3">
      <c r="A50" t="s">
        <v>45</v>
      </c>
      <c r="D50">
        <v>2729.26</v>
      </c>
    </row>
    <row r="51" spans="1:4" x14ac:dyDescent="0.3">
      <c r="A51" t="s">
        <v>46</v>
      </c>
      <c r="D51">
        <v>2729.26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SUMMARY</vt:lpstr>
      <vt:lpstr>pd7a</vt:lpstr>
      <vt:lpstr>QB-Pay sum biw</vt:lpstr>
      <vt:lpstr>SUMMARY!Print_Titles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Fayaz</dc:creator>
  <cp:lastModifiedBy>Fayaz Jaffer</cp:lastModifiedBy>
  <cp:lastPrinted>2026-02-18T19:17:25Z</cp:lastPrinted>
  <dcterms:created xsi:type="dcterms:W3CDTF">2023-01-27T13:13:58Z</dcterms:created>
  <dcterms:modified xsi:type="dcterms:W3CDTF">2026-04-14T14:58:18Z</dcterms:modified>
</cp:coreProperties>
</file>